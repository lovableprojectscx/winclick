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⚙ Configuración" sheetId="1" state="visible" r:id="rId1"/>
    <sheet xmlns:r="http://schemas.openxmlformats.org/officeDocument/2006/relationships" name="🏷 Simulador Producto" sheetId="2" state="visible" r:id="rId2"/>
    <sheet xmlns:r="http://schemas.openxmlformats.org/officeDocument/2006/relationships" name="🌐 Simulador Red" sheetId="3" state="visible" r:id="rId3"/>
    <sheet xmlns:r="http://schemas.openxmlformats.org/officeDocument/2006/relationships" name="📖 Guí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S/ &quot;#,##0.00"/>
  </numFmts>
  <fonts count="29">
    <font>
      <name val="Calibri"/>
      <family val="2"/>
      <color theme="1"/>
      <sz val="11"/>
      <scheme val="minor"/>
    </font>
    <font>
      <name val="Arial"/>
      <b val="1"/>
      <color rgb="00E8741A"/>
      <sz val="16"/>
    </font>
    <font>
      <name val="Arial"/>
      <i val="1"/>
      <color rgb="00A8A090"/>
      <sz val="10"/>
    </font>
    <font>
      <name val="Arial"/>
      <b val="1"/>
      <color rgb="00F8F4EC"/>
      <sz val="12"/>
    </font>
    <font>
      <name val="Arial"/>
      <b val="1"/>
      <color rgb="00E8741A"/>
      <sz val="11"/>
    </font>
    <font>
      <name val="Arial"/>
      <color rgb="00F8F4EC"/>
      <sz val="10"/>
    </font>
    <font>
      <name val="Arial"/>
      <b val="1"/>
      <color rgb="000000FF"/>
      <sz val="10"/>
    </font>
    <font>
      <name val="Arial"/>
      <color rgb="00A8A090"/>
      <sz val="10"/>
    </font>
    <font>
      <name val="Arial"/>
      <b val="1"/>
      <color rgb="001EC0D5"/>
      <sz val="11"/>
    </font>
    <font>
      <name val="Arial"/>
      <b val="1"/>
      <color rgb="00F8F4EC"/>
      <sz val="10"/>
    </font>
    <font>
      <name val="Arial"/>
      <b val="1"/>
      <color rgb="0027AE60"/>
      <sz val="10"/>
    </font>
    <font>
      <name val="Arial"/>
      <b val="1"/>
      <color rgb="00F0C040"/>
      <sz val="10"/>
    </font>
    <font>
      <name val="Arial"/>
      <b val="1"/>
      <color rgb="00E8741A"/>
      <sz val="10"/>
    </font>
    <font>
      <name val="Arial"/>
      <color rgb="00A8A090"/>
      <sz val="9"/>
    </font>
    <font>
      <name val="Arial"/>
      <b val="1"/>
      <color rgb="00F8F4EC"/>
      <sz val="11"/>
    </font>
    <font>
      <name val="Arial"/>
      <b val="1"/>
      <color rgb="00A8A090"/>
      <sz val="10"/>
    </font>
    <font>
      <name val="Arial"/>
      <b val="1"/>
      <color rgb="001EC0D5"/>
      <sz val="10"/>
    </font>
    <font>
      <name val="Arial"/>
      <color rgb="001EC0D5"/>
      <sz val="10"/>
    </font>
    <font>
      <name val="Arial"/>
      <color rgb="00E8741A"/>
      <sz val="10"/>
    </font>
    <font>
      <name val="Arial"/>
      <color rgb="0027AE60"/>
      <sz val="10"/>
    </font>
    <font>
      <name val="Arial"/>
      <color rgb="00E74C3C"/>
      <sz val="10"/>
    </font>
    <font>
      <name val="Arial"/>
      <b val="1"/>
      <color rgb="001EC0D5"/>
      <sz val="16"/>
    </font>
    <font>
      <name val="Arial"/>
      <color rgb="00F0C040"/>
      <sz val="10"/>
    </font>
    <font>
      <name val="Arial"/>
      <b val="1"/>
      <color rgb="00E8741A"/>
      <sz val="14"/>
    </font>
    <font>
      <name val="Arial"/>
      <b val="1"/>
      <color rgb="00E8741A"/>
      <sz val="12"/>
    </font>
    <font>
      <name val="Arial"/>
      <b val="1"/>
      <color rgb="00F0C040"/>
      <sz val="12"/>
    </font>
    <font>
      <name val="Arial"/>
      <b val="1"/>
      <color rgb="0027AE60"/>
      <sz val="16"/>
    </font>
    <font>
      <name val="Arial"/>
      <b val="1"/>
      <color rgb="001EC0D5"/>
      <sz val="12"/>
    </font>
    <font>
      <name val="Arial"/>
      <b val="1"/>
      <color rgb="0027AE60"/>
      <sz val="12"/>
    </font>
  </fonts>
  <fills count="6">
    <fill>
      <patternFill/>
    </fill>
    <fill>
      <patternFill patternType="gray125"/>
    </fill>
    <fill>
      <patternFill patternType="solid">
        <fgColor rgb="0005091C"/>
      </patternFill>
    </fill>
    <fill>
      <patternFill patternType="solid">
        <fgColor rgb="000D1629"/>
      </patternFill>
    </fill>
    <fill>
      <patternFill patternType="solid">
        <fgColor rgb="002A3248"/>
      </patternFill>
    </fill>
    <fill>
      <patternFill patternType="solid">
        <fgColor rgb="001A2035"/>
      </patternFill>
    </fill>
  </fills>
  <borders count="6">
    <border>
      <left/>
      <right/>
      <top/>
      <bottom/>
      <diagonal/>
    </border>
    <border>
      <left style="thin">
        <color rgb="002A3248"/>
      </left>
      <right style="thin">
        <color rgb="002A3248"/>
      </right>
      <top style="thin">
        <color rgb="002A3248"/>
      </top>
      <bottom style="thin">
        <color rgb="002A3248"/>
      </bottom>
    </border>
    <border>
      <left/>
      <right/>
      <top style="thin">
        <color rgb="002A3248"/>
      </top>
      <bottom/>
      <diagonal/>
    </border>
    <border>
      <left/>
      <right style="thin">
        <color rgb="002A3248"/>
      </right>
      <top style="thin">
        <color rgb="002A3248"/>
      </top>
      <bottom/>
      <diagonal/>
    </border>
    <border>
      <left/>
      <right/>
      <top style="thin">
        <color rgb="002A3248"/>
      </top>
      <bottom style="thin">
        <color rgb="002A3248"/>
      </bottom>
      <diagonal/>
    </border>
    <border>
      <left/>
      <right style="thin">
        <color rgb="002A3248"/>
      </right>
      <top style="thin">
        <color rgb="002A3248"/>
      </top>
      <bottom style="thin">
        <color rgb="002A3248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164" fontId="12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165" fontId="15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/>
    </xf>
    <xf numFmtId="165" fontId="16" fillId="5" borderId="1" applyAlignment="1" pivotButton="0" quotePrefix="0" xfId="0">
      <alignment horizontal="center" vertical="center"/>
    </xf>
    <xf numFmtId="164" fontId="17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165" fontId="12" fillId="4" borderId="1" applyAlignment="1" pivotButton="0" quotePrefix="0" xfId="0">
      <alignment horizontal="center" vertical="center"/>
    </xf>
    <xf numFmtId="164" fontId="1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165" fontId="10" fillId="5" borderId="1" applyAlignment="1" pivotButton="0" quotePrefix="0" xfId="0">
      <alignment horizontal="center" vertical="center"/>
    </xf>
    <xf numFmtId="164" fontId="19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165" fontId="17" fillId="5" borderId="1" applyAlignment="1" pivotButton="0" quotePrefix="0" xfId="0">
      <alignment horizontal="right" vertical="center"/>
    </xf>
    <xf numFmtId="165" fontId="12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/>
    </xf>
    <xf numFmtId="165" fontId="20" fillId="5" borderId="1" applyAlignment="1" pivotButton="0" quotePrefix="0" xfId="0">
      <alignment horizontal="right" vertical="center"/>
    </xf>
    <xf numFmtId="164" fontId="20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/>
    </xf>
    <xf numFmtId="165" fontId="19" fillId="5" borderId="1" applyAlignment="1" pivotButton="0" quotePrefix="0" xfId="0">
      <alignment horizontal="right" vertical="center"/>
    </xf>
    <xf numFmtId="164" fontId="19" fillId="5" borderId="1" applyAlignment="1" pivotButton="0" quotePrefix="0" xfId="0">
      <alignment horizontal="center" vertical="center" wrapText="1"/>
    </xf>
    <xf numFmtId="165" fontId="15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/>
    </xf>
    <xf numFmtId="165" fontId="18" fillId="5" borderId="1" applyAlignment="1" pivotButton="0" quotePrefix="0" xfId="0">
      <alignment horizontal="right" vertical="center"/>
    </xf>
    <xf numFmtId="165" fontId="12" fillId="5" borderId="1" applyAlignment="1" pivotButton="0" quotePrefix="0" xfId="0">
      <alignment horizontal="right" vertical="center"/>
    </xf>
    <xf numFmtId="164" fontId="18" fillId="5" borderId="1" applyAlignment="1" pivotButton="0" quotePrefix="0" xfId="0">
      <alignment horizontal="center" vertical="center" wrapText="1"/>
    </xf>
    <xf numFmtId="165" fontId="16" fillId="5" borderId="1" applyAlignment="1" pivotButton="0" quotePrefix="0" xfId="0">
      <alignment horizontal="right" vertical="center"/>
    </xf>
    <xf numFmtId="164" fontId="17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right" vertical="center"/>
    </xf>
    <xf numFmtId="0" fontId="21" fillId="3" borderId="0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3" fontId="22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5" fontId="22" fillId="4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wrapText="1"/>
    </xf>
    <xf numFmtId="165" fontId="23" fillId="3" borderId="1" applyAlignment="1" pivotButton="0" quotePrefix="0" xfId="0">
      <alignment horizontal="right" vertical="center"/>
    </xf>
    <xf numFmtId="165" fontId="24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165" fontId="25" fillId="5" borderId="1" applyAlignment="1" pivotButton="0" quotePrefix="0" xfId="0">
      <alignment horizontal="right" vertical="center"/>
    </xf>
    <xf numFmtId="0" fontId="26" fillId="3" borderId="0" applyAlignment="1" pivotButton="0" quotePrefix="0" xfId="0">
      <alignment horizontal="center" vertical="center" wrapText="1"/>
    </xf>
    <xf numFmtId="0" fontId="24" fillId="4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27" fillId="4" borderId="0" applyAlignment="1" pivotButton="0" quotePrefix="0" xfId="0">
      <alignment horizontal="left" vertical="center" wrapText="1"/>
    </xf>
    <xf numFmtId="0" fontId="28" fillId="4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2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741A"/>
    <outlinePr summaryBelow="1" summaryRight="1"/>
    <pageSetUpPr/>
  </sheetPr>
  <dimension ref="A1:M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60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4" customHeight="1">
      <c r="A2" s="1" t="n"/>
      <c r="B2" s="2" t="inlineStr">
        <is>
          <t>WINCLICK · CONFIGURACIÓN GLOBAL DE PRECIOS Y COMISIONES</t>
        </is>
      </c>
    </row>
    <row r="3">
      <c r="A3" s="1" t="n"/>
      <c r="B3" s="3" t="inlineStr">
        <is>
          <t>Todos los multiplicadores y tasas que controlan el modelo. Cambia los valores azules.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26" customHeight="1">
      <c r="A5" s="1" t="n"/>
      <c r="B5" s="4" t="inlineStr">
        <is>
          <t>A · MULTIPLICADORES DE PRECIO</t>
        </is>
      </c>
    </row>
    <row r="6">
      <c r="A6" s="1" t="n"/>
      <c r="B6" s="5" t="inlineStr">
        <is>
          <t>Variable</t>
        </is>
      </c>
      <c r="C6" s="5" t="inlineStr">
        <is>
          <t>Valor</t>
        </is>
      </c>
      <c r="D6" s="5" t="inlineStr">
        <is>
          <t>Descripción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>
      <c r="A7" s="1" t="n"/>
      <c r="B7" s="6" t="inlineStr">
        <is>
          <t>Factor Precio Socio</t>
        </is>
      </c>
      <c r="C7" s="7" t="n">
        <v>0.72</v>
      </c>
      <c r="D7" s="8" t="inlineStr">
        <is>
          <t>El socio compra al 72% del Precio Base. Ajustable.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10" t="n"/>
    </row>
    <row r="8">
      <c r="A8" s="1" t="n"/>
      <c r="B8" s="6" t="inlineStr">
        <is>
          <t>Factor Precio Cliente</t>
        </is>
      </c>
      <c r="C8" s="7" t="n">
        <v>1.2</v>
      </c>
      <c r="D8" s="8" t="inlineStr">
        <is>
          <t>Precio sugerido al cliente = 120% del Precio Base. Ajustable.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10" t="n"/>
    </row>
    <row r="9">
      <c r="A9" s="1" t="n"/>
      <c r="B9" s="6" t="inlineStr">
        <is>
          <t>Precio Mínimo Socio</t>
        </is>
      </c>
      <c r="C9" s="7" t="n">
        <v>0.65</v>
      </c>
      <c r="D9" s="8" t="inlineStr">
        <is>
          <t>Factor mínimo permitido (65%). Límite inferior.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10" t="n"/>
    </row>
    <row r="10">
      <c r="A10" s="1" t="n"/>
      <c r="B10" s="6" t="inlineStr">
        <is>
          <t>Precio Máximo Cliente</t>
        </is>
      </c>
      <c r="C10" s="7" t="n">
        <v>1.5</v>
      </c>
      <c r="D10" s="8" t="inlineStr">
        <is>
          <t>Factor máximo sugerido (150%). El socio puede superar este valor.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10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 ht="26" customHeight="1">
      <c r="A12" s="1" t="n"/>
      <c r="B12" s="4" t="inlineStr">
        <is>
          <t>B · COMISIONES DE RED (BASE = Precio Base del producto)</t>
        </is>
      </c>
    </row>
    <row r="13">
      <c r="A13" s="1" t="n"/>
      <c r="B13" s="11" t="inlineStr">
        <is>
          <t>Nivel</t>
        </is>
      </c>
      <c r="C13" s="11" t="inlineStr">
        <is>
          <t>Tasa %</t>
        </is>
      </c>
      <c r="D13" s="11" t="inlineStr">
        <is>
          <t>Descripción</t>
        </is>
      </c>
      <c r="E13" s="11" t="inlineStr">
        <is>
          <t>¿Activo?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</row>
    <row r="14">
      <c r="A14" s="1" t="n"/>
      <c r="B14" s="12" t="n">
        <v>1</v>
      </c>
      <c r="C14" s="7" t="n">
        <v>0.1</v>
      </c>
      <c r="D14" s="8" t="inlineStr">
        <is>
          <t>Referidos directos del socio — nivel más alto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10" t="n"/>
    </row>
    <row r="15">
      <c r="A15" s="1" t="n"/>
      <c r="B15" s="12" t="n">
        <v>2</v>
      </c>
      <c r="C15" s="7" t="n">
        <v>0.04</v>
      </c>
      <c r="D15" s="8" t="inlineStr">
        <is>
          <t>Referidos de tus referidos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10" t="n"/>
    </row>
    <row r="16">
      <c r="A16" s="1" t="n"/>
      <c r="B16" s="12" t="n">
        <v>3</v>
      </c>
      <c r="C16" s="7" t="n">
        <v>0.02</v>
      </c>
      <c r="D16" s="8" t="inlineStr">
        <is>
          <t>Tercer nivel de la red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10" t="n"/>
    </row>
    <row r="17">
      <c r="A17" s="1" t="n"/>
      <c r="B17" s="12" t="n">
        <v>4</v>
      </c>
      <c r="C17" s="7" t="n">
        <v>0.02</v>
      </c>
      <c r="D17" s="8" t="inlineStr">
        <is>
          <t>Cuarto nivel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10" t="n"/>
    </row>
    <row r="18">
      <c r="A18" s="1" t="n"/>
      <c r="B18" s="12" t="n">
        <v>5</v>
      </c>
      <c r="C18" s="7" t="n">
        <v>0.01</v>
      </c>
      <c r="D18" s="8" t="inlineStr">
        <is>
          <t>Quinto nivel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10" t="n"/>
    </row>
    <row r="19">
      <c r="A19" s="1" t="n"/>
      <c r="B19" s="12" t="n">
        <v>6</v>
      </c>
      <c r="C19" s="7" t="n">
        <v>0.01</v>
      </c>
      <c r="D19" s="8" t="inlineStr">
        <is>
          <t>Sexto nivel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10" t="n"/>
    </row>
    <row r="20">
      <c r="A20" s="1" t="n"/>
      <c r="B20" s="12" t="n">
        <v>7</v>
      </c>
      <c r="C20" s="7" t="n">
        <v>0.01</v>
      </c>
      <c r="D20" s="8" t="inlineStr">
        <is>
          <t>Séptimo nivel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10" t="n"/>
    </row>
    <row r="21">
      <c r="A21" s="1" t="n"/>
      <c r="B21" s="13" t="n">
        <v>8</v>
      </c>
      <c r="C21" s="14" t="n">
        <v>0.03</v>
      </c>
      <c r="D21" s="15" t="inlineStr">
        <is>
          <t>★ Nivel 8 — Spike especial de red profunda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10" t="n"/>
    </row>
    <row r="22">
      <c r="A22" s="1" t="n"/>
      <c r="B22" s="12" t="n">
        <v>9</v>
      </c>
      <c r="C22" s="7" t="n">
        <v>0.005</v>
      </c>
      <c r="D22" s="8" t="inlineStr">
        <is>
          <t>Noveno nivel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10" t="n"/>
    </row>
    <row r="23">
      <c r="A23" s="1" t="n"/>
      <c r="B23" s="12" t="n">
        <v>10</v>
      </c>
      <c r="C23" s="7" t="n">
        <v>0.005</v>
      </c>
      <c r="D23" s="8" t="inlineStr">
        <is>
          <t>Décimo nivel — red muy profunda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10" t="n"/>
    </row>
    <row r="24">
      <c r="A24" s="1" t="n"/>
      <c r="B24" s="16" t="inlineStr">
        <is>
          <t>TOTAL COMISIONES</t>
        </is>
      </c>
      <c r="C24" s="17">
        <f>SUM(C14:C23)</f>
        <v/>
      </c>
      <c r="D24" s="18" t="inlineStr">
        <is>
          <t>Del Precio Base — nunca del precio de venta al cliente</t>
        </is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4" t="inlineStr">
        <is>
          <t>C · LÓGICA DEL MODELO</t>
        </is>
      </c>
    </row>
    <row r="27" ht="20" customHeight="1">
      <c r="A27" s="1" t="n"/>
      <c r="B27" s="19" t="inlineStr">
        <is>
          <t>1. El PRECIO BASE es fijado por Winclick en el panel de administración. Es el valor de referencia (PV).</t>
        </is>
      </c>
    </row>
    <row r="28" ht="20" customHeight="1">
      <c r="A28" s="1" t="n"/>
      <c r="B28" s="19" t="inlineStr">
        <is>
          <t>2. El PRECIO SOCIO = Precio Base × Factor Socio. Es lo que paga el afiliado a Winclick al comprar el producto.</t>
        </is>
      </c>
    </row>
    <row r="29" ht="20" customHeight="1">
      <c r="A29" s="1" t="n"/>
      <c r="B29" s="19" t="inlineStr">
        <is>
          <t>3. El PRECIO CLIENTE = Precio Base × Factor Cliente. Es el precio sugerido para vender al consumidor final.</t>
        </is>
      </c>
    </row>
    <row r="30" ht="20" customHeight="1">
      <c r="A30" s="1" t="n"/>
      <c r="B30" s="19" t="inlineStr">
        <is>
          <t>4. El socio puede vender a CUALQUIER precio mayor al Precio Socio. Su ganancia directa = Precio venta - Precio Socio.</t>
        </is>
      </c>
    </row>
    <row r="31" ht="20" customHeight="1">
      <c r="A31" s="1" t="n"/>
      <c r="B31" s="19" t="inlineStr">
        <is>
          <t>5. Las COMISIONES DE RED se calculan sobre el Precio Base (no sobre el precio de venta). Son pagadas por Winclick.</t>
        </is>
      </c>
    </row>
    <row r="32" ht="20" customHeight="1">
      <c r="A32" s="1" t="n"/>
      <c r="B32" s="19" t="inlineStr">
        <is>
          <t>6. El margen de Winclick = Precio Socio recibido − Comisiones pagadas a la red.</t>
        </is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</sheetData>
  <mergeCells count="26">
    <mergeCell ref="B2:M2"/>
    <mergeCell ref="D18:M18"/>
    <mergeCell ref="D9:M9"/>
    <mergeCell ref="D8:M8"/>
    <mergeCell ref="D15:M15"/>
    <mergeCell ref="D24:M24"/>
    <mergeCell ref="B29:M29"/>
    <mergeCell ref="D14:M14"/>
    <mergeCell ref="D23:M23"/>
    <mergeCell ref="B28:M28"/>
    <mergeCell ref="D20:M20"/>
    <mergeCell ref="D10:M10"/>
    <mergeCell ref="B30:M30"/>
    <mergeCell ref="D19:M19"/>
    <mergeCell ref="D22:M22"/>
    <mergeCell ref="B5:M5"/>
    <mergeCell ref="D21:M21"/>
    <mergeCell ref="B32:M32"/>
    <mergeCell ref="B26:M26"/>
    <mergeCell ref="B3:M3"/>
    <mergeCell ref="D17:M17"/>
    <mergeCell ref="B31:M31"/>
    <mergeCell ref="D7:M7"/>
    <mergeCell ref="D16:M16"/>
    <mergeCell ref="B27:M27"/>
    <mergeCell ref="B12:M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741A"/>
    <outlinePr summaryBelow="1" summaryRight="1"/>
    <pageSetUpPr/>
  </sheetPr>
  <dimension ref="A1:O6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8" customWidth="1" min="3" max="3"/>
    <col width="14" customWidth="1" min="4" max="4"/>
    <col width="14" customWidth="1" min="5" max="5"/>
    <col width="22" customWidth="1" min="6" max="6"/>
    <col width="52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4" customHeight="1">
      <c r="A2" s="1" t="n"/>
      <c r="B2" s="2" t="inlineStr">
        <is>
          <t>WINCLICK · SIMULADOR DE PRECIOS POR PRODUCTO</t>
        </is>
      </c>
    </row>
    <row r="3">
      <c r="A3" s="1" t="n"/>
      <c r="B3" s="3" t="inlineStr">
        <is>
          <t>Ingresa el Precio Base de cualquier producto y obtén el desglose completo de precios, márgenes y comisiones.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20" t="inlineStr">
        <is>
          <t>ENTRADA · PRECIO BASE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1" t="n"/>
      <c r="B6" s="8" t="inlineStr">
        <is>
          <t>Nombre del producto</t>
        </is>
      </c>
      <c r="C6" s="21" t="inlineStr">
        <is>
          <t>Maca Andina Premium</t>
        </is>
      </c>
      <c r="D6" s="9" t="n"/>
      <c r="E6" s="10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A7" s="1" t="n"/>
      <c r="B7" s="8" t="inlineStr">
        <is>
          <t>Precio Base (S/)</t>
        </is>
      </c>
      <c r="C7" s="22" t="n">
        <v>89.90000000000001</v>
      </c>
      <c r="D7" s="9" t="n"/>
      <c r="E7" s="10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6" customHeight="1">
      <c r="A9" s="1" t="n"/>
      <c r="B9" s="4" t="inlineStr">
        <is>
          <t>TABLA DE PRECIOS CALCULADOS</t>
        </is>
      </c>
      <c r="O9" s="1" t="n"/>
    </row>
    <row r="10">
      <c r="A10" s="1" t="n"/>
      <c r="B10" s="5" t="inlineStr">
        <is>
          <t>Precio</t>
        </is>
      </c>
      <c r="C10" s="5" t="inlineStr">
        <is>
          <t>Fórmula</t>
        </is>
      </c>
      <c r="D10" s="5" t="inlineStr">
        <is>
          <t>Valor (S/)</t>
        </is>
      </c>
      <c r="E10" s="5" t="inlineStr">
        <is>
          <t>% sobre Base</t>
        </is>
      </c>
      <c r="F10" s="5" t="inlineStr">
        <is>
          <t>¿Quién lo ve?</t>
        </is>
      </c>
      <c r="G10" s="5" t="inlineStr">
        <is>
          <t>Descripción</t>
        </is>
      </c>
      <c r="H10" s="9" t="n"/>
      <c r="I10" s="9" t="n"/>
      <c r="J10" s="9" t="n"/>
      <c r="K10" s="9" t="n"/>
      <c r="L10" s="9" t="n"/>
      <c r="M10" s="9" t="n"/>
      <c r="N10" s="10" t="n"/>
      <c r="O10" s="1" t="n"/>
    </row>
    <row r="11">
      <c r="A11" s="1" t="n"/>
      <c r="B11" s="23" t="inlineStr">
        <is>
          <t>Precio Base (PV)</t>
        </is>
      </c>
      <c r="C11" s="8" t="inlineStr">
        <is>
          <t>Admin lo define</t>
        </is>
      </c>
      <c r="D11" s="24">
        <f>C7</f>
        <v/>
      </c>
      <c r="E11" s="25">
        <f>D11/C7</f>
        <v/>
      </c>
      <c r="F11" s="8" t="inlineStr">
        <is>
          <t>Solo admin / sistema</t>
        </is>
      </c>
      <c r="G11" s="8" t="inlineStr">
        <is>
          <t>Referencia interna. BASE de todas las comisiones de red. No es precio real de compra.</t>
        </is>
      </c>
      <c r="H11" s="9" t="n"/>
      <c r="I11" s="9" t="n"/>
      <c r="J11" s="9" t="n"/>
      <c r="K11" s="9" t="n"/>
      <c r="L11" s="9" t="n"/>
      <c r="M11" s="9" t="n"/>
      <c r="N11" s="10" t="n"/>
      <c r="O11" s="1" t="n"/>
    </row>
    <row r="12">
      <c r="A12" s="1" t="n"/>
      <c r="B12" s="26" t="inlineStr">
        <is>
          <t>Precio Socio</t>
        </is>
      </c>
      <c r="C12" s="8" t="inlineStr">
        <is>
          <t>Base × Factor Socio ('⚙ Configuración'\!C7)</t>
        </is>
      </c>
      <c r="D12" s="27">
        <f>C7*'⚙ Configuración'\!C7</f>
        <v/>
      </c>
      <c r="E12" s="28">
        <f>D12/C7</f>
        <v/>
      </c>
      <c r="F12" s="8" t="inlineStr">
        <is>
          <t>Solo afiliados logueados</t>
        </is>
      </c>
      <c r="G12" s="8" t="inlineStr">
        <is>
          <t>Lo que paga el afiliado a Winclick. Cuanto menos paga, mayor su margen directo.</t>
        </is>
      </c>
      <c r="H12" s="9" t="n"/>
      <c r="I12" s="9" t="n"/>
      <c r="J12" s="9" t="n"/>
      <c r="K12" s="9" t="n"/>
      <c r="L12" s="9" t="n"/>
      <c r="M12" s="9" t="n"/>
      <c r="N12" s="10" t="n"/>
      <c r="O12" s="1" t="n"/>
    </row>
    <row r="13">
      <c r="A13" s="1" t="n"/>
      <c r="B13" s="29" t="inlineStr">
        <is>
          <t>Precio Cliente Sugerido</t>
        </is>
      </c>
      <c r="C13" s="15" t="inlineStr">
        <is>
          <t>Base × Factor Cliente ('⚙ Configuración'\!C8)</t>
        </is>
      </c>
      <c r="D13" s="30">
        <f>C7*'⚙ Configuración'\!C8</f>
        <v/>
      </c>
      <c r="E13" s="31">
        <f>D13/C7</f>
        <v/>
      </c>
      <c r="F13" s="15" t="inlineStr">
        <is>
          <t>Clientes en tienda del afiliado</t>
        </is>
      </c>
      <c r="G13" s="15" t="inlineStr">
        <is>
          <t>Precio sugerido al consumidor final. El afiliado PUEDE cobrar más o menos.</t>
        </is>
      </c>
      <c r="H13" s="9" t="n"/>
      <c r="I13" s="9" t="n"/>
      <c r="J13" s="9" t="n"/>
      <c r="K13" s="9" t="n"/>
      <c r="L13" s="9" t="n"/>
      <c r="M13" s="9" t="n"/>
      <c r="N13" s="10" t="n"/>
      <c r="O13" s="1" t="n"/>
    </row>
    <row r="14">
      <c r="A14" s="1" t="n"/>
      <c r="B14" s="32" t="inlineStr">
        <is>
          <t>Precio Mínimo Venta</t>
        </is>
      </c>
      <c r="C14" s="8" t="inlineStr">
        <is>
          <t>Base × Factor Mín ('⚙ Configuración'\!C9)</t>
        </is>
      </c>
      <c r="D14" s="33">
        <f>C7*'⚙ Configuración'\!C9</f>
        <v/>
      </c>
      <c r="E14" s="34">
        <f>D14/C7</f>
        <v/>
      </c>
      <c r="F14" s="8" t="inlineStr">
        <is>
          <t>Límite interno</t>
        </is>
      </c>
      <c r="G14" s="8" t="inlineStr">
        <is>
          <t>El afiliado nunca debería vender por debajo de este valor para mantener márgenes.</t>
        </is>
      </c>
      <c r="H14" s="9" t="n"/>
      <c r="I14" s="9" t="n"/>
      <c r="J14" s="9" t="n"/>
      <c r="K14" s="9" t="n"/>
      <c r="L14" s="9" t="n"/>
      <c r="M14" s="9" t="n"/>
      <c r="N14" s="10" t="n"/>
      <c r="O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 ht="26" customHeight="1">
      <c r="A16" s="1" t="n"/>
      <c r="B16" s="4" t="inlineStr">
        <is>
          <t>ANÁLISIS DE GANANCIA PARA EL AFILIADO</t>
        </is>
      </c>
      <c r="O16" s="1" t="n"/>
    </row>
    <row r="17">
      <c r="A17" s="1" t="n"/>
      <c r="B17" s="5" t="inlineStr">
        <is>
          <t>Concepto</t>
        </is>
      </c>
      <c r="C17" s="5" t="inlineStr">
        <is>
          <t>Valor (S/)</t>
        </is>
      </c>
      <c r="D17" s="5" t="inlineStr">
        <is>
          <t>% Margen</t>
        </is>
      </c>
      <c r="E17" s="5" t="inlineStr">
        <is>
          <t>Nota</t>
        </is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10" t="n"/>
      <c r="O17" s="1" t="n"/>
    </row>
    <row r="18">
      <c r="A18" s="1" t="n"/>
      <c r="B18" s="8" t="inlineStr">
        <is>
          <t>Precio Socio (costo del afiliado)</t>
        </is>
      </c>
      <c r="C18" s="35">
        <f>D12</f>
        <v/>
      </c>
      <c r="D18" s="36" t="inlineStr">
        <is>
          <t>—</t>
        </is>
      </c>
      <c r="E18" s="8" t="inlineStr">
        <is>
          <t>El afiliado compra a este precio. Es su inversión por unidad.</t>
        </is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10" t="n"/>
      <c r="O18" s="1" t="n"/>
    </row>
    <row r="19">
      <c r="A19" s="1" t="n"/>
      <c r="B19" s="37" t="inlineStr">
        <is>
          <t>Precio venta al cliente (sugerido)</t>
        </is>
      </c>
      <c r="C19" s="38">
        <f>D13</f>
        <v/>
      </c>
      <c r="D19" s="36" t="inlineStr">
        <is>
          <t>—</t>
        </is>
      </c>
      <c r="E19" s="8" t="inlineStr">
        <is>
          <t>El afiliado vende a este precio. Puede vender más caro si lo desea.</t>
        </is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10" t="n"/>
      <c r="O19" s="1" t="n"/>
    </row>
    <row r="20">
      <c r="A20" s="1" t="n"/>
      <c r="B20" s="29" t="inlineStr">
        <is>
          <t>✦ Ganancia directa por unidad</t>
        </is>
      </c>
      <c r="C20" s="39">
        <f>C19-C18</f>
        <v/>
      </c>
      <c r="D20" s="40">
        <f>(C19-C18)/C18</f>
        <v/>
      </c>
      <c r="E20" s="15" t="inlineStr">
        <is>
          <t>Ingreso inmediato = precio venta − precio socio. El afiliado lo cobra al instante.</t>
        </is>
      </c>
      <c r="F20" s="9" t="n"/>
      <c r="G20" s="9" t="n"/>
      <c r="H20" s="9" t="n"/>
      <c r="I20" s="9" t="n"/>
      <c r="J20" s="9" t="n"/>
      <c r="K20" s="9" t="n"/>
      <c r="L20" s="9" t="n"/>
      <c r="M20" s="9" t="n"/>
      <c r="N20" s="10" t="n"/>
      <c r="O20" s="1" t="n"/>
    </row>
    <row r="21">
      <c r="A21" s="1" t="n"/>
      <c r="B21" s="41" t="inlineStr">
        <is>
          <t>Comisiones que GENERA para su upline</t>
        </is>
      </c>
      <c r="C21" s="42">
        <f>-'⚙ Configuración'\!C24*C7</f>
        <v/>
      </c>
      <c r="D21" s="43">
        <f>-'⚙ Configuración'\!C24</f>
        <v/>
      </c>
      <c r="E21" s="8" t="inlineStr">
        <is>
          <t>Su venta genera 25% del Precio Base en comisiones para toda la red arriba de él.</t>
        </is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10" t="n"/>
      <c r="O21" s="1" t="n"/>
    </row>
    <row r="22">
      <c r="A22" s="1" t="n"/>
      <c r="B22" s="44" t="inlineStr">
        <is>
          <t>Retención neta de Winclick por venta</t>
        </is>
      </c>
      <c r="C22" s="45">
        <f>C18+'⚙ Configuración'\!C24*C7-'⚙ Configuración'\!C24*C7</f>
        <v/>
      </c>
      <c r="D22" s="46">
        <f>(C18-'⚙ Configuración'\!C24*C7)/C7</f>
        <v/>
      </c>
      <c r="E22" s="8" t="inlineStr">
        <is>
          <t>Winclick recibe el precio socio y paga las comisiones de la red. Su margen neto.</t>
        </is>
      </c>
      <c r="F22" s="9" t="n"/>
      <c r="G22" s="9" t="n"/>
      <c r="H22" s="9" t="n"/>
      <c r="I22" s="9" t="n"/>
      <c r="J22" s="9" t="n"/>
      <c r="K22" s="9" t="n"/>
      <c r="L22" s="9" t="n"/>
      <c r="M22" s="9" t="n"/>
      <c r="N22" s="10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6" customHeight="1">
      <c r="A24" s="1" t="n"/>
      <c r="B24" s="4" t="inlineStr">
        <is>
          <t>SIMULADOR: ¿QUÉ GANA EL AFILIADO SI VENDE A PRECIO LIBRE?</t>
        </is>
      </c>
      <c r="O24" s="1" t="n"/>
    </row>
    <row r="25">
      <c r="A25" s="1" t="n"/>
      <c r="B25" s="5" t="inlineStr">
        <is>
          <t>Escenario de venta</t>
        </is>
      </c>
      <c r="C25" s="5" t="inlineStr">
        <is>
          <t>Precio venta (S/)</t>
        </is>
      </c>
      <c r="D25" s="5" t="inlineStr">
        <is>
          <t>Ganancia directa (S/)</t>
        </is>
      </c>
      <c r="E25" s="5" t="inlineStr">
        <is>
          <t>Margen %</t>
        </is>
      </c>
      <c r="F25" s="5" t="inlineStr">
        <is>
          <t>Recomendación</t>
        </is>
      </c>
      <c r="G25" s="9" t="n"/>
      <c r="H25" s="9" t="n"/>
      <c r="I25" s="9" t="n"/>
      <c r="J25" s="9" t="n"/>
      <c r="K25" s="9" t="n"/>
      <c r="L25" s="9" t="n"/>
      <c r="M25" s="9" t="n"/>
      <c r="N25" s="10" t="n"/>
      <c r="O25" s="1" t="n"/>
    </row>
    <row r="26">
      <c r="A26" s="1" t="n"/>
      <c r="B26" s="8" t="inlineStr">
        <is>
          <t>Al precio socio (sin margen)</t>
        </is>
      </c>
      <c r="C26" s="35">
        <f>D12</f>
        <v/>
      </c>
      <c r="D26" s="47">
        <f>C26-D12</f>
        <v/>
      </c>
      <c r="E26" s="48">
        <f>(C26-D12)/D12</f>
        <v/>
      </c>
      <c r="F26" s="8" t="inlineStr">
        <is>
          <t>No recomendado — sin ganancia directa.</t>
        </is>
      </c>
      <c r="G26" s="9" t="n"/>
      <c r="H26" s="9" t="n"/>
      <c r="I26" s="9" t="n"/>
      <c r="J26" s="9" t="n"/>
      <c r="K26" s="9" t="n"/>
      <c r="L26" s="9" t="n"/>
      <c r="M26" s="9" t="n"/>
      <c r="N26" s="10" t="n"/>
      <c r="O26" s="1" t="n"/>
    </row>
    <row r="27">
      <c r="A27" s="1" t="n"/>
      <c r="B27" s="49" t="inlineStr">
        <is>
          <t>Precio cliente sugerido</t>
        </is>
      </c>
      <c r="C27" s="50">
        <f>D13</f>
        <v/>
      </c>
      <c r="D27" s="51">
        <f>C27-D12</f>
        <v/>
      </c>
      <c r="E27" s="52">
        <f>(C27-D12)/D12</f>
        <v/>
      </c>
      <c r="F27" s="8" t="inlineStr">
        <is>
          <t>Ideal. Margen estándar del sistema.</t>
        </is>
      </c>
      <c r="G27" s="9" t="n"/>
      <c r="H27" s="9" t="n"/>
      <c r="I27" s="9" t="n"/>
      <c r="J27" s="9" t="n"/>
      <c r="K27" s="9" t="n"/>
      <c r="L27" s="9" t="n"/>
      <c r="M27" s="9" t="n"/>
      <c r="N27" s="10" t="n"/>
      <c r="O27" s="1" t="n"/>
    </row>
    <row r="28">
      <c r="A28" s="1" t="n"/>
      <c r="B28" s="37" t="inlineStr">
        <is>
          <t>20% sobre el sugerido</t>
        </is>
      </c>
      <c r="C28" s="38">
        <f>D13*1.20</f>
        <v/>
      </c>
      <c r="D28" s="53">
        <f>C28-D12</f>
        <v/>
      </c>
      <c r="E28" s="54">
        <f>(C28-D12)/D12</f>
        <v/>
      </c>
      <c r="F28" s="8" t="inlineStr">
        <is>
          <t>Aceptable si el mercado lo permite.</t>
        </is>
      </c>
      <c r="G28" s="9" t="n"/>
      <c r="H28" s="9" t="n"/>
      <c r="I28" s="9" t="n"/>
      <c r="J28" s="9" t="n"/>
      <c r="K28" s="9" t="n"/>
      <c r="L28" s="9" t="n"/>
      <c r="M28" s="9" t="n"/>
      <c r="N28" s="10" t="n"/>
      <c r="O28" s="1" t="n"/>
    </row>
    <row r="29">
      <c r="A29" s="1" t="n"/>
      <c r="B29" s="44" t="inlineStr">
        <is>
          <t>Al doble del precio socio</t>
        </is>
      </c>
      <c r="C29" s="45">
        <f>D12*2</f>
        <v/>
      </c>
      <c r="D29" s="55">
        <f>C29-D12</f>
        <v/>
      </c>
      <c r="E29" s="46">
        <f>(C29-D12)/D12</f>
        <v/>
      </c>
      <c r="F29" s="8" t="inlineStr">
        <is>
          <t>Estrategia agresiva — depende del producto.</t>
        </is>
      </c>
      <c r="G29" s="9" t="n"/>
      <c r="H29" s="9" t="n"/>
      <c r="I29" s="9" t="n"/>
      <c r="J29" s="9" t="n"/>
      <c r="K29" s="9" t="n"/>
      <c r="L29" s="9" t="n"/>
      <c r="M29" s="9" t="n"/>
      <c r="N29" s="10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</sheetData>
  <mergeCells count="24">
    <mergeCell ref="G12:N12"/>
    <mergeCell ref="B9:N9"/>
    <mergeCell ref="G11:N11"/>
    <mergeCell ref="B3:O3"/>
    <mergeCell ref="F26:N26"/>
    <mergeCell ref="B5:E5"/>
    <mergeCell ref="B24:N24"/>
    <mergeCell ref="E22:N22"/>
    <mergeCell ref="B2:O2"/>
    <mergeCell ref="E18:N18"/>
    <mergeCell ref="F28:N28"/>
    <mergeCell ref="E21:N21"/>
    <mergeCell ref="G10:N10"/>
    <mergeCell ref="F27:N27"/>
    <mergeCell ref="G13:N13"/>
    <mergeCell ref="C7:E7"/>
    <mergeCell ref="B16:N16"/>
    <mergeCell ref="E17:N17"/>
    <mergeCell ref="G14:N14"/>
    <mergeCell ref="E20:N20"/>
    <mergeCell ref="C6:E6"/>
    <mergeCell ref="E19:N19"/>
    <mergeCell ref="F29:N29"/>
    <mergeCell ref="F25:N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C0D5"/>
    <outlinePr summaryBelow="1" summaryRight="1"/>
    <pageSetUpPr/>
  </sheetPr>
  <dimension ref="A1:Q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22" customWidth="1" min="4" max="4"/>
    <col width="16" customWidth="1" min="5" max="5"/>
    <col width="20" customWidth="1" min="6" max="6"/>
    <col width="26" customWidth="1" min="7" max="7"/>
    <col width="30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4" customHeight="1">
      <c r="A2" s="1" t="n"/>
      <c r="B2" s="56" t="inlineStr">
        <is>
          <t>WINCLICK · SIMULADOR DE INGRESOS POR RED (COMISIONES PASIVAS)</t>
        </is>
      </c>
    </row>
    <row r="3">
      <c r="A3" s="1" t="n"/>
      <c r="B3" s="3" t="inlineStr">
        <is>
          <t>Simula cuánto gana un socio por las ventas de su red. Cambia los valores azules.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20" t="inlineStr">
        <is>
          <t>SUPUESTOS DE ENTRADA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>
      <c r="A6" s="1" t="n"/>
      <c r="B6" s="8" t="inlineStr">
        <is>
          <t>Precio Base promedio por venta (S/)</t>
        </is>
      </c>
      <c r="C6" s="22" t="n">
        <v>89.90000000000001</v>
      </c>
      <c r="D6" s="8" t="inlineStr">
        <is>
          <t>Usa el precio base de tus productos más vendidos.</t>
        </is>
      </c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10" t="n"/>
    </row>
    <row r="7">
      <c r="A7" s="1" t="n"/>
      <c r="B7" s="8" t="inlineStr">
        <is>
          <t>Ventas por afiliado por mes</t>
        </is>
      </c>
      <c r="C7" s="57" t="n">
        <v>3</v>
      </c>
      <c r="D7" s="8" t="inlineStr">
        <is>
          <t>Promedio de ventas/mes por cada afiliado en la red.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0" t="n"/>
    </row>
    <row r="8">
      <c r="A8" s="1" t="n"/>
      <c r="B8" s="8" t="inlineStr">
        <is>
          <t>Referidos directos que tienes</t>
        </is>
      </c>
      <c r="C8" s="57" t="n">
        <v>5</v>
      </c>
      <c r="D8" s="8" t="inlineStr">
        <is>
          <t>Nivel 1 de tu red — los que tú inscribiste.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 t="n"/>
    </row>
    <row r="9">
      <c r="A9" s="1" t="n"/>
      <c r="B9" s="8" t="inlineStr">
        <is>
          <t>Factor de crecimiento por nivel</t>
        </is>
      </c>
      <c r="C9" s="58" t="n">
        <v>0.6</v>
      </c>
      <c r="D9" s="8" t="inlineStr">
        <is>
          <t>Cada nivel tiene este % de los referidos del nivel anterior.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0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</row>
    <row r="12" ht="26" customHeight="1">
      <c r="A12" s="1" t="n"/>
      <c r="B12" s="4" t="inlineStr">
        <is>
          <t>PROYECCIÓN MENSUAL DE COMISIONES</t>
        </is>
      </c>
    </row>
    <row r="13">
      <c r="A13" s="1" t="n"/>
      <c r="B13" s="11" t="inlineStr">
        <is>
          <t>Nivel</t>
        </is>
      </c>
      <c r="C13" s="11" t="inlineStr">
        <is>
          <t>Afiliados en el nivel</t>
        </is>
      </c>
      <c r="D13" s="11" t="inlineStr">
        <is>
          <t>Ventas/mes del nivel</t>
        </is>
      </c>
      <c r="E13" s="11" t="inlineStr">
        <is>
          <t>Tasa comisión</t>
        </is>
      </c>
      <c r="F13" s="11" t="inlineStr">
        <is>
          <t>Base comisión (S/)</t>
        </is>
      </c>
      <c r="G13" s="11" t="inlineStr">
        <is>
          <t>Comisión que RECIBES (S/)</t>
        </is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>
      <c r="A14" s="1" t="n"/>
      <c r="B14" s="12" t="n">
        <v>1</v>
      </c>
      <c r="C14" s="59">
        <f>C8</f>
        <v/>
      </c>
      <c r="D14" s="59">
        <f>C14*C7</f>
        <v/>
      </c>
      <c r="E14" s="48">
        <f>'⚙ Configuración'\!C14</f>
        <v/>
      </c>
      <c r="F14" s="60">
        <f>D14*C6</f>
        <v/>
      </c>
      <c r="G14" s="38">
        <f>D14*C6*'⚙ Configuración'\!C14</f>
        <v/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</row>
    <row r="15">
      <c r="A15" s="1" t="n"/>
      <c r="B15" s="12" t="n">
        <v>2</v>
      </c>
      <c r="C15" s="59">
        <f>ROUND(C14*C9,0)</f>
        <v/>
      </c>
      <c r="D15" s="59">
        <f>C15*C7</f>
        <v/>
      </c>
      <c r="E15" s="48">
        <f>'⚙ Configuración'\!C15</f>
        <v/>
      </c>
      <c r="F15" s="60">
        <f>D15*C6</f>
        <v/>
      </c>
      <c r="G15" s="38">
        <f>D15*C6*'⚙ Configuración'\!C15</f>
        <v/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>
      <c r="A16" s="1" t="n"/>
      <c r="B16" s="12" t="n">
        <v>3</v>
      </c>
      <c r="C16" s="59">
        <f>ROUND(C15*C9,0)</f>
        <v/>
      </c>
      <c r="D16" s="59">
        <f>C16*C7</f>
        <v/>
      </c>
      <c r="E16" s="48">
        <f>'⚙ Configuración'\!C16</f>
        <v/>
      </c>
      <c r="F16" s="60">
        <f>D16*C6</f>
        <v/>
      </c>
      <c r="G16" s="38">
        <f>D16*C6*'⚙ Configuración'\!C16</f>
        <v/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>
      <c r="A17" s="1" t="n"/>
      <c r="B17" s="12" t="n">
        <v>4</v>
      </c>
      <c r="C17" s="59">
        <f>ROUND(C16*C9,0)</f>
        <v/>
      </c>
      <c r="D17" s="59">
        <f>C17*C7</f>
        <v/>
      </c>
      <c r="E17" s="48">
        <f>'⚙ Configuración'\!C17</f>
        <v/>
      </c>
      <c r="F17" s="60">
        <f>D17*C6</f>
        <v/>
      </c>
      <c r="G17" s="38">
        <f>D17*C6*'⚙ Configuración'\!C17</f>
        <v/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" t="n"/>
      <c r="B18" s="12" t="n">
        <v>5</v>
      </c>
      <c r="C18" s="59">
        <f>ROUND(C17*C9,0)</f>
        <v/>
      </c>
      <c r="D18" s="59">
        <f>C18*C7</f>
        <v/>
      </c>
      <c r="E18" s="48">
        <f>'⚙ Configuración'\!C18</f>
        <v/>
      </c>
      <c r="F18" s="60">
        <f>D18*C6</f>
        <v/>
      </c>
      <c r="G18" s="38">
        <f>D18*C6*'⚙ Configuración'\!C18</f>
        <v/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 s="1" t="n"/>
      <c r="B19" s="12" t="n">
        <v>6</v>
      </c>
      <c r="C19" s="59">
        <f>ROUND(C18*C9,0)</f>
        <v/>
      </c>
      <c r="D19" s="59">
        <f>C19*C7</f>
        <v/>
      </c>
      <c r="E19" s="48">
        <f>'⚙ Configuración'\!C19</f>
        <v/>
      </c>
      <c r="F19" s="60">
        <f>D19*C6</f>
        <v/>
      </c>
      <c r="G19" s="38">
        <f>D19*C6*'⚙ Configuración'\!C19</f>
        <v/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>
      <c r="A20" s="1" t="n"/>
      <c r="B20" s="12" t="n">
        <v>7</v>
      </c>
      <c r="C20" s="59">
        <f>ROUND(C19*C9,0)</f>
        <v/>
      </c>
      <c r="D20" s="59">
        <f>C20*C7</f>
        <v/>
      </c>
      <c r="E20" s="48">
        <f>'⚙ Configuración'\!C20</f>
        <v/>
      </c>
      <c r="F20" s="60">
        <f>D20*C6</f>
        <v/>
      </c>
      <c r="G20" s="38">
        <f>D20*C6*'⚙ Configuración'\!C20</f>
        <v/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>
      <c r="A21" s="1" t="n"/>
      <c r="B21" s="61" t="n">
        <v>8</v>
      </c>
      <c r="C21" s="62">
        <f>ROUND(C20*C9,0)</f>
        <v/>
      </c>
      <c r="D21" s="62">
        <f>C21*C7</f>
        <v/>
      </c>
      <c r="E21" s="63">
        <f>'⚙ Configuración'\!C21</f>
        <v/>
      </c>
      <c r="F21" s="64">
        <f>D21*C6</f>
        <v/>
      </c>
      <c r="G21" s="39">
        <f>D21*C6*'⚙ Configuración'\!C21</f>
        <v/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>
      <c r="A22" s="1" t="n"/>
      <c r="B22" s="12" t="n">
        <v>9</v>
      </c>
      <c r="C22" s="59">
        <f>ROUND(C21*C9,0)</f>
        <v/>
      </c>
      <c r="D22" s="59">
        <f>C22*C7</f>
        <v/>
      </c>
      <c r="E22" s="48">
        <f>'⚙ Configuración'\!C22</f>
        <v/>
      </c>
      <c r="F22" s="60">
        <f>D22*C6</f>
        <v/>
      </c>
      <c r="G22" s="38">
        <f>D22*C6*'⚙ Configuración'\!C22</f>
        <v/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n"/>
      <c r="B23" s="12" t="n">
        <v>10</v>
      </c>
      <c r="C23" s="59">
        <f>ROUND(C22*C9,0)</f>
        <v/>
      </c>
      <c r="D23" s="59">
        <f>C23*C7</f>
        <v/>
      </c>
      <c r="E23" s="48">
        <f>'⚙ Configuración'\!C23</f>
        <v/>
      </c>
      <c r="F23" s="60">
        <f>D23*C6</f>
        <v/>
      </c>
      <c r="G23" s="38">
        <f>D23*C6*'⚙ Configuración'\!C23</f>
        <v/>
      </c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>
      <c r="A24" s="1" t="n"/>
      <c r="B24" s="65" t="inlineStr">
        <is>
          <t>TOTAL</t>
        </is>
      </c>
      <c r="C24" s="66" t="inlineStr">
        <is>
          <t>Comisiones mensuales totales que recibes de tu red</t>
        </is>
      </c>
      <c r="G24" s="67">
        <f>SUM(G14:G23)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 ht="26" customHeight="1">
      <c r="A26" s="1" t="n"/>
      <c r="B26" s="4" t="inlineStr">
        <is>
          <t>RESUMEN DE INGRESOS MENSUALES (PROYECCIÓN)</t>
        </is>
      </c>
    </row>
    <row r="27">
      <c r="A27" s="1" t="n"/>
      <c r="B27" s="37" t="inlineStr">
        <is>
          <t>Ganancia directa por tus propias ventas (S/)</t>
        </is>
      </c>
      <c r="C27" s="38">
        <f>C7*'🏷 Simulador Producto'\!C19</f>
        <v/>
      </c>
      <c r="D27" s="8" t="inlineStr">
        <is>
          <t>Precio cliente sugerido menos tu precio socio × tus ventas propias.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0" t="n"/>
    </row>
    <row r="28">
      <c r="A28" s="1" t="n"/>
      <c r="B28" s="37" t="inlineStr">
        <is>
          <t>Comisiones de red — ingresos pasivos (S/)</t>
        </is>
      </c>
      <c r="C28" s="38">
        <f>G24</f>
        <v/>
      </c>
      <c r="D28" s="8" t="inlineStr">
        <is>
          <t>Lo que recibes por las ventas de TODA tu red sin hacer nada más.</t>
        </is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0" t="n"/>
    </row>
    <row r="29">
      <c r="A29" s="1" t="n"/>
      <c r="B29" s="29" t="inlineStr">
        <is>
          <t>INGRESO TOTAL ESTIMADO (S/)</t>
        </is>
      </c>
      <c r="C29" s="68">
        <f>C27+C28</f>
        <v/>
      </c>
      <c r="D29" s="15" t="inlineStr">
        <is>
          <t>Suma de ganancia directa + comisiones de red. Tu ingreso mensual total.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0" t="n"/>
    </row>
    <row r="30">
      <c r="A30" s="1" t="n"/>
      <c r="B30" s="69" t="inlineStr">
        <is>
          <t>Ingreso anual proyectado (S/)</t>
        </is>
      </c>
      <c r="C30" s="70">
        <f>C29*12</f>
        <v/>
      </c>
      <c r="D30" s="8" t="inlineStr">
        <is>
          <t>Si la red se mantiene estable.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0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</row>
  </sheetData>
  <mergeCells count="14">
    <mergeCell ref="D9:Q9"/>
    <mergeCell ref="B5:G5"/>
    <mergeCell ref="D8:Q8"/>
    <mergeCell ref="D6:Q6"/>
    <mergeCell ref="B26:Q26"/>
    <mergeCell ref="D7:Q7"/>
    <mergeCell ref="D30:Q30"/>
    <mergeCell ref="B12:Q12"/>
    <mergeCell ref="D29:Q29"/>
    <mergeCell ref="D27:Q27"/>
    <mergeCell ref="B2:Q2"/>
    <mergeCell ref="C24:F24"/>
    <mergeCell ref="D28:Q28"/>
    <mergeCell ref="B3: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0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4" customHeight="1">
      <c r="A2" s="1" t="n"/>
      <c r="B2" s="71" t="inlineStr">
        <is>
          <t>WINCLICK · GUÍA DEL SISTEMA DE PRECIOS</t>
        </is>
      </c>
      <c r="O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6" customHeight="1">
      <c r="A4" s="1" t="n"/>
      <c r="B4" s="72" t="inlineStr">
        <is>
          <t>¿QUÉ ES EL PRECIO BASE (PV)?</t>
        </is>
      </c>
      <c r="O4" s="1" t="n"/>
    </row>
    <row r="5" ht="18" customHeight="1">
      <c r="A5" s="1" t="n"/>
      <c r="B5" s="73" t="inlineStr">
        <is>
          <t>El Precio Base (también llamado PV — Punto de Valor) es el precio de referencia que Winclick asigna a cada producto.</t>
        </is>
      </c>
      <c r="O5" s="1" t="n"/>
    </row>
    <row r="6" ht="18" customHeight="1">
      <c r="A6" s="1" t="n"/>
      <c r="B6" s="73" t="inlineStr">
        <is>
          <t>NO es el precio real de compra para el afiliado, ni el precio que paga el cliente final.</t>
        </is>
      </c>
      <c r="O6" s="1" t="n"/>
    </row>
    <row r="7" ht="18" customHeight="1">
      <c r="A7" s="1" t="n"/>
      <c r="B7" s="73" t="inlineStr">
        <is>
          <t>Su función es servir como BASE de cálculo para todas las comisiones de la red.</t>
        </is>
      </c>
      <c r="O7" s="1" t="n"/>
    </row>
    <row r="8" ht="18" customHeight="1">
      <c r="A8" s="1" t="n"/>
      <c r="B8" s="73" t="inlineStr">
        <is>
          <t>Regla de oro: todas las comisiones se calculan como % del Precio Base, nunca del precio de venta real.</t>
        </is>
      </c>
      <c r="O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26" customHeight="1">
      <c r="A10" s="1" t="n"/>
      <c r="B10" s="74" t="inlineStr">
        <is>
          <t>¿QUÉ ES EL PRECIO SOCIO?</t>
        </is>
      </c>
      <c r="O10" s="1" t="n"/>
    </row>
    <row r="11" ht="18" customHeight="1">
      <c r="A11" s="1" t="n"/>
      <c r="B11" s="73" t="inlineStr">
        <is>
          <t>Es el precio al que Winclick vende el producto al afiliado registrado.</t>
        </is>
      </c>
      <c r="O11" s="1" t="n"/>
    </row>
    <row r="12" ht="18" customHeight="1">
      <c r="A12" s="1" t="n"/>
      <c r="B12" s="73" t="inlineStr">
        <is>
          <t>Fórmula: Precio Socio = Precio Base × Factor Socio (por defecto 72%, ajustable en ⚙ Configuración).</t>
        </is>
      </c>
      <c r="O12" s="1" t="n"/>
    </row>
    <row r="13" ht="18" customHeight="1">
      <c r="A13" s="1" t="n"/>
      <c r="B13" s="73" t="inlineStr">
        <is>
          <t>El afiliado invierte este dinero para obtener el producto y poder venderlo.</t>
        </is>
      </c>
      <c r="O13" s="1" t="n"/>
    </row>
    <row r="14" ht="18" customHeight="1">
      <c r="A14" s="1" t="n"/>
      <c r="B14" s="73" t="inlineStr">
        <is>
          <t>Es el costo de compra del afiliado. Menor precio socio = mayor margen directo para el afiliado.</t>
        </is>
      </c>
      <c r="O14" s="1" t="n"/>
    </row>
    <row r="15" ht="18" customHeight="1">
      <c r="A15" s="1" t="n"/>
      <c r="B15" s="73" t="inlineStr">
        <is>
          <t>Solo los socios logueados en el sistema ven este precio.</t>
        </is>
      </c>
      <c r="O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 ht="26" customHeight="1">
      <c r="A17" s="1" t="n"/>
      <c r="B17" s="72" t="inlineStr">
        <is>
          <t>¿QUÉ ES EL PRECIO CLIENTE (PÚBLICO)?</t>
        </is>
      </c>
      <c r="O17" s="1" t="n"/>
    </row>
    <row r="18" ht="18" customHeight="1">
      <c r="A18" s="1" t="n"/>
      <c r="B18" s="73" t="inlineStr">
        <is>
          <t>Es el precio SUGERIDO al que el afiliado debería vender a sus clientes finales.</t>
        </is>
      </c>
      <c r="O18" s="1" t="n"/>
    </row>
    <row r="19" ht="18" customHeight="1">
      <c r="A19" s="1" t="n"/>
      <c r="B19" s="73" t="inlineStr">
        <is>
          <t>Fórmula: Precio Cliente = Precio Base × Factor Cliente (por defecto 120%, ajustable).</t>
        </is>
      </c>
      <c r="O19" s="1" t="n"/>
    </row>
    <row r="20" ht="18" customHeight="1">
      <c r="A20" s="1" t="n"/>
      <c r="B20" s="73" t="inlineStr">
        <is>
          <t>El afiliado puede vender a CUALQUIER precio mayor al Precio Socio.</t>
        </is>
      </c>
      <c r="O20" s="1" t="n"/>
    </row>
    <row r="21" ht="18" customHeight="1">
      <c r="A21" s="1" t="n"/>
      <c r="B21" s="73" t="inlineStr">
        <is>
          <t>Si vende a más del Precio Cliente Sugerido, gana más. Si vende menos, gana menos.</t>
        </is>
      </c>
      <c r="O21" s="1" t="n"/>
    </row>
    <row r="22" ht="18" customHeight="1">
      <c r="A22" s="1" t="n"/>
      <c r="B22" s="73" t="inlineStr">
        <is>
          <t>Este precio aparece en la tienda pública del afiliado.</t>
        </is>
      </c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6" customHeight="1">
      <c r="A24" s="1" t="n"/>
      <c r="B24" s="75" t="inlineStr">
        <is>
          <t>¿CÓMO GANA EL AFILIADO? — DOS FUENTES</t>
        </is>
      </c>
      <c r="O24" s="1" t="n"/>
    </row>
    <row r="25" ht="18" customHeight="1">
      <c r="A25" s="1" t="n"/>
      <c r="B25" s="73" t="inlineStr">
        <is>
          <t>FUENTE 1 — GANANCIA DIRECTA (inmediata):</t>
        </is>
      </c>
      <c r="O25" s="1" t="n"/>
    </row>
    <row r="26" ht="18" customHeight="1">
      <c r="A26" s="1" t="n"/>
      <c r="B26" s="73" t="inlineStr">
        <is>
          <t xml:space="preserve">  = Precio al que vendió al cliente − Precio Socio pagado a Winclick.</t>
        </is>
      </c>
      <c r="O26" s="1" t="n"/>
    </row>
    <row r="27" ht="18" customHeight="1">
      <c r="A27" s="1" t="n"/>
      <c r="B27" s="73" t="inlineStr">
        <is>
          <t xml:space="preserve">  Ejemplo: Vendió a S/105, pagó a Winclick S/64.73 → Ganó S/40.27 inmediatamente.</t>
        </is>
      </c>
      <c r="O27" s="1" t="n"/>
    </row>
    <row r="28" ht="18" customHeight="1">
      <c r="A28" s="1" t="n"/>
      <c r="B28" s="76" t="inlineStr"/>
      <c r="O28" s="1" t="n"/>
    </row>
    <row r="29" ht="18" customHeight="1">
      <c r="A29" s="1" t="n"/>
      <c r="B29" s="73" t="inlineStr">
        <is>
          <t>FUENTE 2 — COMISIONES DE RED (pasivo):</t>
        </is>
      </c>
      <c r="O29" s="1" t="n"/>
    </row>
    <row r="30" ht="18" customHeight="1">
      <c r="A30" s="1" t="n"/>
      <c r="B30" s="73" t="inlineStr">
        <is>
          <t xml:space="preserve">  = % del Precio Base × ventas de su red (hasta 10 niveles de profundidad).</t>
        </is>
      </c>
      <c r="O30" s="1" t="n"/>
    </row>
    <row r="31" ht="18" customHeight="1">
      <c r="A31" s="1" t="n"/>
      <c r="B31" s="73" t="inlineStr">
        <is>
          <t xml:space="preserve">  Ejemplo: Su referido nivel 1 vende un producto de Precio Base S/89.90 →</t>
        </is>
      </c>
      <c r="O31" s="1" t="n"/>
    </row>
    <row r="32" ht="18" customHeight="1">
      <c r="A32" s="1" t="n"/>
      <c r="B32" s="73" t="inlineStr">
        <is>
          <t xml:space="preserve">  El afiliado recibe 10% × S/89.90 = S/8.99 de comisión.</t>
        </is>
      </c>
      <c r="O32" s="1" t="n"/>
    </row>
    <row r="33" ht="18" customHeight="1">
      <c r="A33" s="1" t="n"/>
      <c r="B33" s="73" t="inlineStr">
        <is>
          <t xml:space="preserve">  Esto ocurre con CADA venta de CADA persona en su red.</t>
        </is>
      </c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 ht="26" customHeight="1">
      <c r="A35" s="1" t="n"/>
      <c r="B35" s="74" t="inlineStr">
        <is>
          <t>¿CÓMO FLUYE EL DINERO?</t>
        </is>
      </c>
      <c r="O35" s="1" t="n"/>
    </row>
    <row r="36" ht="18" customHeight="1">
      <c r="A36" s="1" t="n"/>
      <c r="B36" s="73" t="inlineStr">
        <is>
          <t>1. Afiliado A compra producto a Winclick → paga Precio Socio (S/64.73).</t>
        </is>
      </c>
      <c r="O36" s="1" t="n"/>
    </row>
    <row r="37" ht="18" customHeight="1">
      <c r="A37" s="1" t="n"/>
      <c r="B37" s="73" t="inlineStr">
        <is>
          <t>2. Afiliado A vende al cliente → cobra Precio de su elección (ej. S/105).</t>
        </is>
      </c>
      <c r="O37" s="1" t="n"/>
    </row>
    <row r="38" ht="18" customHeight="1">
      <c r="A38" s="1" t="n"/>
      <c r="B38" s="73" t="inlineStr">
        <is>
          <t>3. Afiliado A obtiene ganancia directa = S/105 - S/64.73 = S/40.27.</t>
        </is>
      </c>
      <c r="O38" s="1" t="n"/>
    </row>
    <row r="39" ht="18" customHeight="1">
      <c r="A39" s="1" t="n"/>
      <c r="B39" s="73" t="inlineStr">
        <is>
          <t>4. Winclick toma S/64.73 recibido y paga comisiones de red:</t>
        </is>
      </c>
      <c r="O39" s="1" t="n"/>
    </row>
    <row r="40" ht="18" customHeight="1">
      <c r="A40" s="1" t="n"/>
      <c r="B40" s="73" t="inlineStr">
        <is>
          <t xml:space="preserve">   - 10% del PV (S/89.90) = S/8.99 al patrocinador directo (nivel 1).</t>
        </is>
      </c>
      <c r="O40" s="1" t="n"/>
    </row>
    <row r="41" ht="18" customHeight="1">
      <c r="A41" s="1" t="n"/>
      <c r="B41" s="73" t="inlineStr">
        <is>
          <t xml:space="preserve">   - 4% del PV = S/3.60 al nivel 2. Y así hasta nivel 10.</t>
        </is>
      </c>
      <c r="O41" s="1" t="n"/>
    </row>
    <row r="42" ht="18" customHeight="1">
      <c r="A42" s="1" t="n"/>
      <c r="B42" s="73" t="inlineStr">
        <is>
          <t xml:space="preserve">   - Total comisiones pagadas = 25% de S/89.90 = S/22.48.</t>
        </is>
      </c>
      <c r="O42" s="1" t="n"/>
    </row>
    <row r="43" ht="18" customHeight="1">
      <c r="A43" s="1" t="n"/>
      <c r="B43" s="73" t="inlineStr">
        <is>
          <t>5. Winclick retiene: S/64.73 − S/22.48 = S/42.25 por unidad vendida.</t>
        </is>
      </c>
      <c r="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 ht="26" customHeight="1">
      <c r="A45" s="1" t="n"/>
      <c r="B45" s="77" t="inlineStr">
        <is>
          <t>RECOMENDACIONES PARA EL ADMINISTRADOR</t>
        </is>
      </c>
      <c r="O45" s="1" t="n"/>
    </row>
    <row r="46" ht="18" customHeight="1">
      <c r="A46" s="1" t="n"/>
      <c r="B46" s="73" t="inlineStr">
        <is>
          <t>• Establece el Precio Base pensando en que el 25% debe poder pagarse como comisiones.</t>
        </is>
      </c>
      <c r="O46" s="1" t="n"/>
    </row>
    <row r="47" ht="18" customHeight="1">
      <c r="A47" s="1" t="n"/>
      <c r="B47" s="73" t="inlineStr">
        <is>
          <t>• El Factor Socio sugerido es 72% (el afiliado paga 28% menos que el PV).</t>
        </is>
      </c>
      <c r="O47" s="1" t="n"/>
    </row>
    <row r="48" ht="18" customHeight="1">
      <c r="A48" s="1" t="n"/>
      <c r="B48" s="73" t="inlineStr">
        <is>
          <t>• El Factor Cliente sugerido es 120% (el cliente paga 20% más que el PV).</t>
        </is>
      </c>
      <c r="O48" s="1" t="n"/>
    </row>
    <row r="49" ht="18" customHeight="1">
      <c r="A49" s="1" t="n"/>
      <c r="B49" s="73" t="inlineStr">
        <is>
          <t>• Margen bruto del afiliado típico = Factor Cliente − Factor Socio = 120% − 72% = 48% del PV.</t>
        </is>
      </c>
      <c r="O49" s="1" t="n"/>
    </row>
    <row r="50" ht="18" customHeight="1">
      <c r="A50" s="1" t="n"/>
      <c r="B50" s="73" t="inlineStr">
        <is>
          <t>• En el ⚙ Configuración puedes ajustar todos estos factores sin tocar el código.</t>
        </is>
      </c>
      <c r="O50" s="1" t="n"/>
    </row>
    <row r="51" ht="18" customHeight="1">
      <c r="A51" s="1" t="n"/>
      <c r="B51" s="73" t="inlineStr">
        <is>
          <t>• En 🏷 Simulador Producto: prueba cualquier Precio Base para ver los cálculos en tiempo real.</t>
        </is>
      </c>
      <c r="O51" s="1" t="n"/>
    </row>
    <row r="52" ht="18" customHeight="1">
      <c r="A52" s="1" t="n"/>
      <c r="B52" s="73" t="inlineStr">
        <is>
          <t>• En 🌐 Simulador Red: proyecta cuánto ganaría un afiliado con X referidos.</t>
        </is>
      </c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</sheetData>
  <mergeCells count="45">
    <mergeCell ref="B37:N37"/>
    <mergeCell ref="B49:N49"/>
    <mergeCell ref="B40:N40"/>
    <mergeCell ref="B30:N30"/>
    <mergeCell ref="B15:N15"/>
    <mergeCell ref="B33:N33"/>
    <mergeCell ref="B6:N6"/>
    <mergeCell ref="B24:N24"/>
    <mergeCell ref="B51:N51"/>
    <mergeCell ref="B20:N20"/>
    <mergeCell ref="B5:N5"/>
    <mergeCell ref="B36:N36"/>
    <mergeCell ref="B45:N45"/>
    <mergeCell ref="B41:N41"/>
    <mergeCell ref="B32:N32"/>
    <mergeCell ref="B4:N4"/>
    <mergeCell ref="B35:N35"/>
    <mergeCell ref="B26:N26"/>
    <mergeCell ref="B50:N50"/>
    <mergeCell ref="B7:N7"/>
    <mergeCell ref="B25:N25"/>
    <mergeCell ref="B47:N47"/>
    <mergeCell ref="B46:N46"/>
    <mergeCell ref="B22:N22"/>
    <mergeCell ref="B31:N31"/>
    <mergeCell ref="B27:N27"/>
    <mergeCell ref="B43:N43"/>
    <mergeCell ref="B12:N12"/>
    <mergeCell ref="B18:N18"/>
    <mergeCell ref="B52:N52"/>
    <mergeCell ref="B21:N21"/>
    <mergeCell ref="B48:N48"/>
    <mergeCell ref="B39:N39"/>
    <mergeCell ref="B11:N11"/>
    <mergeCell ref="B2:N2"/>
    <mergeCell ref="B42:N42"/>
    <mergeCell ref="B14:N14"/>
    <mergeCell ref="B8:N8"/>
    <mergeCell ref="B17:N17"/>
    <mergeCell ref="B13:N13"/>
    <mergeCell ref="B29:N29"/>
    <mergeCell ref="B38:N38"/>
    <mergeCell ref="B19:N19"/>
    <mergeCell ref="B10:N10"/>
    <mergeCell ref="B28:N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2026-04-16T14:22:53Z</dcterms:created>
  <dcterms:modified xmlns:dcterms="http://purl.org/dc/terms/" xmlns:xsi="http://www.w3.org/2001/XMLSchema-instance" xsi:type="dcterms:W3CDTF">2026-04-16T14:22:53Z</dcterms:modified>
</cp:coreProperties>
</file>